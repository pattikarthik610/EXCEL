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0301f1f55ee4a6/Desktop/"/>
    </mc:Choice>
  </mc:AlternateContent>
  <xr:revisionPtr revIDLastSave="2" documentId="8_{8CACA07D-2AA5-4F8F-A81F-39380E512422}" xr6:coauthVersionLast="47" xr6:coauthVersionMax="47" xr10:uidLastSave="{D36CC6F4-49A5-4400-947E-B90B159B8060}"/>
  <bookViews>
    <workbookView xWindow="-120" yWindow="-120" windowWidth="20730" windowHeight="11040" activeTab="1" xr2:uid="{732B6B2B-9D62-46F4-BD51-2A50D454E9F3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4" i="2" l="1"/>
  <c r="T3" i="2"/>
  <c r="T2" i="2"/>
  <c r="L5" i="2"/>
  <c r="L2" i="2"/>
  <c r="K5" i="2"/>
  <c r="K4" i="2"/>
  <c r="K3" i="2"/>
  <c r="H4" i="2"/>
  <c r="N2" i="2"/>
  <c r="M3" i="2"/>
  <c r="M2" i="2"/>
  <c r="K2" i="2"/>
  <c r="J5" i="2"/>
  <c r="J4" i="2"/>
  <c r="J3" i="2"/>
  <c r="J2" i="2"/>
  <c r="I5" i="2"/>
  <c r="I4" i="2"/>
  <c r="I3" i="2"/>
  <c r="I2" i="2"/>
  <c r="H3" i="2"/>
  <c r="H5" i="2"/>
  <c r="H2" i="2"/>
</calcChain>
</file>

<file path=xl/sharedStrings.xml><?xml version="1.0" encoding="utf-8"?>
<sst xmlns="http://schemas.openxmlformats.org/spreadsheetml/2006/main" count="226" uniqueCount="59">
  <si>
    <t>Monday</t>
  </si>
  <si>
    <t>Tuesday</t>
  </si>
  <si>
    <t>Wednesday</t>
  </si>
  <si>
    <t>Thursday</t>
  </si>
  <si>
    <t>Friday</t>
  </si>
  <si>
    <t>Saturday</t>
  </si>
  <si>
    <t>Sunday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</si>
  <si>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</si>
  <si>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</si>
  <si>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</si>
  <si>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</si>
  <si>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</si>
  <si>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</si>
  <si>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</si>
  <si>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</si>
  <si>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</si>
  <si>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</si>
  <si>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</si>
  <si>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</si>
  <si>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</t>
  </si>
  <si>
    <t>d</t>
  </si>
  <si>
    <t>e</t>
  </si>
  <si>
    <t>b</t>
  </si>
  <si>
    <t>c</t>
  </si>
  <si>
    <t>karthik</t>
  </si>
  <si>
    <t>id</t>
  </si>
  <si>
    <t>name</t>
  </si>
  <si>
    <t>dept</t>
  </si>
  <si>
    <t>salary</t>
  </si>
  <si>
    <t>g</t>
  </si>
  <si>
    <t>h</t>
  </si>
  <si>
    <t>i</t>
  </si>
  <si>
    <t>j</t>
  </si>
  <si>
    <t>x1</t>
  </si>
  <si>
    <t>x2</t>
  </si>
  <si>
    <t>x3</t>
  </si>
  <si>
    <t>column</t>
  </si>
  <si>
    <t>count</t>
  </si>
  <si>
    <t>sum</t>
  </si>
  <si>
    <t>average</t>
  </si>
  <si>
    <t>min</t>
  </si>
  <si>
    <t>max</t>
  </si>
  <si>
    <t>C</t>
  </si>
  <si>
    <t>D</t>
  </si>
  <si>
    <t>E</t>
  </si>
  <si>
    <t>F</t>
  </si>
  <si>
    <t>G</t>
  </si>
  <si>
    <t>H</t>
  </si>
  <si>
    <t>I</t>
  </si>
  <si>
    <t>J</t>
  </si>
  <si>
    <t>abc</t>
  </si>
  <si>
    <t>base_income</t>
  </si>
  <si>
    <t>incentives</t>
  </si>
  <si>
    <t>tds</t>
  </si>
  <si>
    <t>pf</t>
  </si>
  <si>
    <t>net saary</t>
  </si>
  <si>
    <t>attendence</t>
  </si>
  <si>
    <t>present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</si>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</sst>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8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3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3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11FB5-391C-4688-AC1D-6E6D1704B89A}">
  <dimension ref="A1:H38"/>
  <sheetViews>
    <sheetView topLeftCell="A28" workbookViewId="0">
      <selection activeCell="H36" sqref="H36"/>
    </sheetView>
  </sheetViews>
  <sheetFormatPr defaultColWidth="11" defaultRowHeight="26.25" customHeight="1" x14ac:dyDescent="0.25"/>
  <cols>
    <col min="1" max="1" width="11" style="2"/>
  </cols>
  <sheetData>
    <row r="1" spans="1:8" s="1" customFormat="1" ht="26.25" customHeight="1" x14ac:dyDescent="0.25">
      <c r="A1" s="3">
        <v>1</v>
      </c>
      <c r="B1" s="3" t="s">
        <v>0</v>
      </c>
      <c r="C1" s="3" t="s">
        <v>7</v>
      </c>
      <c r="D1" s="3" t="s">
        <v>19</v>
      </c>
      <c r="E1" s="3">
        <v>1</v>
      </c>
      <c r="F1" s="3" t="s">
        <v>0</v>
      </c>
      <c r="G1" s="1" t="s">
        <v>7</v>
      </c>
      <c r="H1" s="1" t="s">
        <v>19</v>
      </c>
    </row>
    <row r="2" spans="1:8" ht="26.25" customHeight="1" x14ac:dyDescent="0.25">
      <c r="A2" s="3">
        <v>2</v>
      </c>
      <c r="B2" s="3" t="s">
        <v>1</v>
      </c>
      <c r="C2" s="3" t="s">
        <v>8</v>
      </c>
      <c r="D2" s="3" t="s">
        <v>22</v>
      </c>
      <c r="E2" s="3">
        <v>2</v>
      </c>
      <c r="F2" s="3" t="s">
        <v>1</v>
      </c>
      <c r="G2" t="s">
        <v>8</v>
      </c>
      <c r="H2" t="s">
        <v>22</v>
      </c>
    </row>
    <row r="3" spans="1:8" ht="26.25" customHeight="1" x14ac:dyDescent="0.25">
      <c r="A3" s="3">
        <v>3</v>
      </c>
      <c r="B3" s="3" t="s">
        <v>2</v>
      </c>
      <c r="C3" s="3" t="s">
        <v>9</v>
      </c>
      <c r="D3" s="3" t="s">
        <v>23</v>
      </c>
      <c r="E3" s="3">
        <v>3</v>
      </c>
      <c r="F3" s="3" t="s">
        <v>2</v>
      </c>
      <c r="G3" t="s">
        <v>9</v>
      </c>
      <c r="H3" t="s">
        <v>23</v>
      </c>
    </row>
    <row r="4" spans="1:8" ht="26.25" customHeight="1" x14ac:dyDescent="0.25">
      <c r="A4" s="3">
        <v>4</v>
      </c>
      <c r="B4" s="3" t="s">
        <v>3</v>
      </c>
      <c r="C4" s="3" t="s">
        <v>10</v>
      </c>
      <c r="D4" s="3" t="s">
        <v>19</v>
      </c>
      <c r="E4" s="3">
        <v>4</v>
      </c>
      <c r="F4" s="3" t="s">
        <v>3</v>
      </c>
      <c r="G4" t="s">
        <v>10</v>
      </c>
      <c r="H4" t="s">
        <v>19</v>
      </c>
    </row>
    <row r="5" spans="1:8" ht="26.25" customHeight="1" x14ac:dyDescent="0.25">
      <c r="A5" s="3">
        <v>5</v>
      </c>
      <c r="B5" s="3" t="s">
        <v>4</v>
      </c>
      <c r="C5" s="3" t="s">
        <v>11</v>
      </c>
      <c r="D5" s="3" t="s">
        <v>22</v>
      </c>
      <c r="E5" s="3">
        <v>5</v>
      </c>
      <c r="F5" s="3" t="s">
        <v>4</v>
      </c>
      <c r="G5" t="s">
        <v>11</v>
      </c>
      <c r="H5" t="s">
        <v>22</v>
      </c>
    </row>
    <row r="6" spans="1:8" ht="26.25" customHeight="1" x14ac:dyDescent="0.25">
      <c r="A6" s="3">
        <v>6</v>
      </c>
      <c r="B6" s="3" t="s">
        <v>5</v>
      </c>
      <c r="C6" s="3" t="s">
        <v>12</v>
      </c>
      <c r="D6" s="3" t="s">
        <v>23</v>
      </c>
      <c r="E6" s="3">
        <v>6</v>
      </c>
      <c r="F6" s="3" t="s">
        <v>5</v>
      </c>
      <c r="G6" t="s">
        <v>12</v>
      </c>
      <c r="H6" t="s">
        <v>23</v>
      </c>
    </row>
    <row r="7" spans="1:8" ht="26.25" customHeight="1" x14ac:dyDescent="0.25">
      <c r="A7" s="3">
        <v>7</v>
      </c>
      <c r="B7" s="3" t="s">
        <v>6</v>
      </c>
      <c r="C7" s="3" t="s">
        <v>13</v>
      </c>
      <c r="D7" s="3" t="s">
        <v>19</v>
      </c>
      <c r="E7" s="3">
        <v>7</v>
      </c>
      <c r="F7" s="3" t="s">
        <v>6</v>
      </c>
      <c r="G7" t="s">
        <v>13</v>
      </c>
      <c r="H7" t="s">
        <v>19</v>
      </c>
    </row>
    <row r="8" spans="1:8" ht="26.25" customHeight="1" x14ac:dyDescent="0.25">
      <c r="A8" s="3">
        <v>8</v>
      </c>
      <c r="B8" s="3" t="s">
        <v>0</v>
      </c>
      <c r="C8" s="3" t="s">
        <v>14</v>
      </c>
      <c r="D8" s="3" t="s">
        <v>22</v>
      </c>
      <c r="E8" s="3">
        <v>8</v>
      </c>
      <c r="F8" s="3" t="s">
        <v>0</v>
      </c>
      <c r="G8" t="s">
        <v>14</v>
      </c>
      <c r="H8" t="s">
        <v>22</v>
      </c>
    </row>
    <row r="9" spans="1:8" ht="26.25" customHeight="1" x14ac:dyDescent="0.25">
      <c r="A9" s="2">
        <v>9</v>
      </c>
      <c r="B9" t="s">
        <v>1</v>
      </c>
      <c r="C9" t="s">
        <v>15</v>
      </c>
      <c r="D9" t="s">
        <v>23</v>
      </c>
      <c r="E9">
        <v>9</v>
      </c>
      <c r="F9" t="s">
        <v>1</v>
      </c>
      <c r="G9" t="s">
        <v>15</v>
      </c>
      <c r="H9" t="s">
        <v>23</v>
      </c>
    </row>
    <row r="10" spans="1:8" ht="26.25" customHeight="1" x14ac:dyDescent="0.25">
      <c r="A10" s="2">
        <v>10</v>
      </c>
      <c r="B10" t="s">
        <v>2</v>
      </c>
      <c r="C10" t="s">
        <v>16</v>
      </c>
      <c r="D10" s="7" t="s">
        <v>24</v>
      </c>
      <c r="E10" s="7"/>
      <c r="F10" s="7"/>
      <c r="G10" s="7"/>
      <c r="H10" s="7"/>
    </row>
    <row r="11" spans="1:8" ht="26.25" customHeight="1" x14ac:dyDescent="0.25">
      <c r="A11" s="2">
        <v>11</v>
      </c>
      <c r="B11" t="s">
        <v>3</v>
      </c>
      <c r="C11" t="s">
        <v>17</v>
      </c>
      <c r="D11" t="s">
        <v>22</v>
      </c>
      <c r="E11">
        <v>11</v>
      </c>
      <c r="F11" t="s">
        <v>3</v>
      </c>
      <c r="G11" t="s">
        <v>17</v>
      </c>
      <c r="H11" t="s">
        <v>22</v>
      </c>
    </row>
    <row r="12" spans="1:8" ht="26.25" customHeight="1" x14ac:dyDescent="0.25">
      <c r="A12" s="2">
        <v>12</v>
      </c>
      <c r="B12" t="s">
        <v>4</v>
      </c>
      <c r="C12" t="s">
        <v>18</v>
      </c>
      <c r="D12" t="s">
        <v>23</v>
      </c>
      <c r="E12">
        <v>12</v>
      </c>
      <c r="F12" t="s">
        <v>4</v>
      </c>
      <c r="G12" t="s">
        <v>18</v>
      </c>
      <c r="H12" t="s">
        <v>23</v>
      </c>
    </row>
    <row r="13" spans="1:8" ht="26.25" customHeight="1" x14ac:dyDescent="0.25">
      <c r="A13" s="2">
        <v>13</v>
      </c>
      <c r="B13" t="s">
        <v>5</v>
      </c>
      <c r="C13" t="s">
        <v>7</v>
      </c>
      <c r="D13" t="s">
        <v>19</v>
      </c>
      <c r="E13">
        <v>13</v>
      </c>
      <c r="F13" t="s">
        <v>5</v>
      </c>
      <c r="G13" t="s">
        <v>7</v>
      </c>
      <c r="H13" t="s">
        <v>19</v>
      </c>
    </row>
    <row r="14" spans="1:8" ht="26.25" customHeight="1" x14ac:dyDescent="0.25">
      <c r="A14" s="2">
        <v>14</v>
      </c>
      <c r="B14" t="s">
        <v>6</v>
      </c>
      <c r="C14" t="s">
        <v>8</v>
      </c>
      <c r="D14" t="s">
        <v>22</v>
      </c>
      <c r="E14">
        <v>14</v>
      </c>
      <c r="F14" t="s">
        <v>6</v>
      </c>
      <c r="G14" t="s">
        <v>8</v>
      </c>
      <c r="H14" t="s">
        <v>22</v>
      </c>
    </row>
    <row r="15" spans="1:8" ht="26.25" customHeight="1" x14ac:dyDescent="0.25">
      <c r="A15" s="2">
        <v>15</v>
      </c>
      <c r="B15" t="s">
        <v>0</v>
      </c>
      <c r="C15" t="s">
        <v>9</v>
      </c>
      <c r="D15" t="s">
        <v>23</v>
      </c>
      <c r="E15">
        <v>15</v>
      </c>
      <c r="F15" t="s">
        <v>0</v>
      </c>
      <c r="G15" t="s">
        <v>9</v>
      </c>
      <c r="H15" t="s">
        <v>23</v>
      </c>
    </row>
    <row r="16" spans="1:8" ht="26.25" customHeight="1" x14ac:dyDescent="0.25">
      <c r="A16" s="2">
        <v>16</v>
      </c>
      <c r="B16" t="s">
        <v>1</v>
      </c>
      <c r="C16" t="s">
        <v>10</v>
      </c>
      <c r="D16" t="s">
        <v>19</v>
      </c>
      <c r="E16">
        <v>16</v>
      </c>
      <c r="F16" t="s">
        <v>1</v>
      </c>
      <c r="G16" t="s">
        <v>10</v>
      </c>
      <c r="H16" t="s">
        <v>19</v>
      </c>
    </row>
    <row r="17" spans="1:8" ht="26.25" customHeight="1" x14ac:dyDescent="0.25">
      <c r="A17" s="2">
        <v>17</v>
      </c>
      <c r="B17" t="s">
        <v>2</v>
      </c>
      <c r="C17" t="s">
        <v>11</v>
      </c>
      <c r="D17" t="s">
        <v>22</v>
      </c>
      <c r="E17">
        <v>17</v>
      </c>
      <c r="F17" t="s">
        <v>2</v>
      </c>
      <c r="G17" t="s">
        <v>11</v>
      </c>
      <c r="H17" t="s">
        <v>22</v>
      </c>
    </row>
    <row r="18" spans="1:8" ht="26.25" customHeight="1" x14ac:dyDescent="0.25">
      <c r="A18" s="2">
        <v>18</v>
      </c>
      <c r="B18" t="s">
        <v>3</v>
      </c>
      <c r="C18" t="s">
        <v>12</v>
      </c>
      <c r="D18" t="s">
        <v>23</v>
      </c>
    </row>
    <row r="19" spans="1:8" ht="26.25" customHeight="1" x14ac:dyDescent="0.25">
      <c r="A19" s="2">
        <v>19</v>
      </c>
      <c r="B19" t="s">
        <v>4</v>
      </c>
      <c r="C19" t="s">
        <v>13</v>
      </c>
      <c r="D19" t="s">
        <v>19</v>
      </c>
    </row>
    <row r="20" spans="1:8" ht="26.25" customHeight="1" x14ac:dyDescent="0.25">
      <c r="A20" s="2">
        <v>20</v>
      </c>
      <c r="B20" t="s">
        <v>5</v>
      </c>
      <c r="C20" t="s">
        <v>14</v>
      </c>
      <c r="D20" t="s">
        <v>22</v>
      </c>
    </row>
    <row r="21" spans="1:8" ht="26.25" customHeight="1" x14ac:dyDescent="0.25">
      <c r="A21" s="2">
        <v>21</v>
      </c>
      <c r="B21" t="s">
        <v>6</v>
      </c>
      <c r="C21" t="s">
        <v>15</v>
      </c>
      <c r="D21" t="s">
        <v>23</v>
      </c>
    </row>
    <row r="22" spans="1:8" ht="26.25" customHeight="1" x14ac:dyDescent="0.25">
      <c r="A22" s="2">
        <v>22</v>
      </c>
      <c r="B22" t="s">
        <v>0</v>
      </c>
      <c r="C22" t="s">
        <v>16</v>
      </c>
      <c r="D22" t="s">
        <v>19</v>
      </c>
    </row>
    <row r="23" spans="1:8" ht="26.25" customHeight="1" x14ac:dyDescent="0.25">
      <c r="A23" s="2">
        <v>23</v>
      </c>
      <c r="B23" t="s">
        <v>1</v>
      </c>
      <c r="C23" t="s">
        <v>17</v>
      </c>
      <c r="D23" t="s">
        <v>22</v>
      </c>
    </row>
    <row r="24" spans="1:8" ht="26.25" customHeight="1" x14ac:dyDescent="0.25">
      <c r="A24" s="2">
        <v>24</v>
      </c>
      <c r="B24" t="s">
        <v>2</v>
      </c>
      <c r="C24" t="s">
        <v>18</v>
      </c>
      <c r="D24" t="s">
        <v>23</v>
      </c>
    </row>
    <row r="25" spans="1:8" ht="26.25" customHeight="1" x14ac:dyDescent="0.25">
      <c r="A25" s="2">
        <v>25</v>
      </c>
      <c r="B25" t="s">
        <v>3</v>
      </c>
      <c r="C25" t="s">
        <v>7</v>
      </c>
      <c r="D25" t="s">
        <v>19</v>
      </c>
    </row>
    <row r="26" spans="1:8" ht="26.25" customHeight="1" x14ac:dyDescent="0.25">
      <c r="A26" s="2">
        <v>26</v>
      </c>
      <c r="B26" t="s">
        <v>4</v>
      </c>
      <c r="C26" t="s">
        <v>8</v>
      </c>
      <c r="D26" t="s">
        <v>22</v>
      </c>
    </row>
    <row r="27" spans="1:8" ht="26.25" customHeight="1" x14ac:dyDescent="0.25">
      <c r="A27" s="2">
        <v>27</v>
      </c>
      <c r="B27" t="s">
        <v>5</v>
      </c>
      <c r="C27" t="s">
        <v>9</v>
      </c>
      <c r="D27" t="s">
        <v>23</v>
      </c>
    </row>
    <row r="28" spans="1:8" ht="26.25" customHeight="1" x14ac:dyDescent="0.25">
      <c r="A28" s="2">
        <v>28</v>
      </c>
      <c r="B28" t="s">
        <v>6</v>
      </c>
      <c r="C28" t="s">
        <v>10</v>
      </c>
      <c r="D28" t="s">
        <v>19</v>
      </c>
    </row>
    <row r="29" spans="1:8" ht="26.25" customHeight="1" x14ac:dyDescent="0.25">
      <c r="A29" s="2">
        <v>29</v>
      </c>
      <c r="B29" t="s">
        <v>0</v>
      </c>
      <c r="C29" t="s">
        <v>11</v>
      </c>
      <c r="D29" t="s">
        <v>22</v>
      </c>
    </row>
    <row r="30" spans="1:8" ht="26.25" customHeight="1" x14ac:dyDescent="0.25">
      <c r="A30" s="2">
        <v>30</v>
      </c>
      <c r="B30" t="s">
        <v>1</v>
      </c>
      <c r="C30" t="s">
        <v>12</v>
      </c>
      <c r="D30" t="s">
        <v>23</v>
      </c>
    </row>
    <row r="31" spans="1:8" ht="26.25" customHeight="1" x14ac:dyDescent="0.25">
      <c r="A31" s="2">
        <v>31</v>
      </c>
      <c r="B31" t="s">
        <v>2</v>
      </c>
      <c r="C31" t="s">
        <v>13</v>
      </c>
      <c r="D31" t="s">
        <v>19</v>
      </c>
    </row>
    <row r="32" spans="1:8" ht="26.25" customHeight="1" x14ac:dyDescent="0.25">
      <c r="A32" s="2">
        <v>32</v>
      </c>
      <c r="B32" t="s">
        <v>3</v>
      </c>
      <c r="C32" t="s">
        <v>14</v>
      </c>
      <c r="D32" t="s">
        <v>22</v>
      </c>
    </row>
    <row r="33" spans="1:4" ht="26.25" customHeight="1" x14ac:dyDescent="0.25">
      <c r="A33" s="2">
        <v>33</v>
      </c>
      <c r="B33" t="s">
        <v>4</v>
      </c>
      <c r="C33" t="s">
        <v>15</v>
      </c>
      <c r="D33" t="s">
        <v>23</v>
      </c>
    </row>
    <row r="34" spans="1:4" ht="26.25" customHeight="1" x14ac:dyDescent="0.25">
      <c r="A34" s="2">
        <v>34</v>
      </c>
      <c r="B34" t="s">
        <v>5</v>
      </c>
      <c r="C34" t="s">
        <v>16</v>
      </c>
      <c r="D34" t="s">
        <v>19</v>
      </c>
    </row>
    <row r="35" spans="1:4" ht="26.25" customHeight="1" x14ac:dyDescent="0.25">
      <c r="A35" s="2">
        <v>35</v>
      </c>
      <c r="B35" t="s">
        <v>6</v>
      </c>
      <c r="C35" t="s">
        <v>17</v>
      </c>
      <c r="D35" t="s">
        <v>22</v>
      </c>
    </row>
    <row r="36" spans="1:4" ht="26.25" customHeight="1" x14ac:dyDescent="0.25">
      <c r="A36" s="2">
        <v>36</v>
      </c>
      <c r="B36" t="s">
        <v>0</v>
      </c>
      <c r="C36" t="s">
        <v>18</v>
      </c>
      <c r="D36" t="s">
        <v>23</v>
      </c>
    </row>
    <row r="37" spans="1:4" ht="26.25" customHeight="1" x14ac:dyDescent="0.25">
      <c r="A37" s="2">
        <v>37</v>
      </c>
      <c r="B37" t="s">
        <v>1</v>
      </c>
      <c r="C37" t="s">
        <v>7</v>
      </c>
      <c r="D37" t="s">
        <v>19</v>
      </c>
    </row>
    <row r="38" spans="1:4" ht="26.25" customHeight="1" x14ac:dyDescent="0.25">
      <c r="A38" s="2">
        <v>38</v>
      </c>
      <c r="B38" t="s">
        <v>2</v>
      </c>
      <c r="C38" t="s">
        <v>8</v>
      </c>
      <c r="D38" t="s">
        <v>22</v>
      </c>
    </row>
  </sheetData>
  <mergeCells count="1">
    <mergeCell ref="D10:H10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81846-4DB7-4C85-9BCA-4D9ADE9E1CE3}">
  <dimension ref="A1:W16"/>
  <sheetViews>
    <sheetView tabSelected="1" topLeftCell="J1" zoomScale="113" workbookViewId="0">
      <selection activeCell="Q8" sqref="Q8"/>
    </sheetView>
  </sheetViews>
  <sheetFormatPr defaultRowHeight="15" x14ac:dyDescent="0.25"/>
  <cols>
    <col min="7" max="7" width="10.5703125" customWidth="1"/>
    <col min="15" max="15" width="4.7109375" customWidth="1"/>
    <col min="16" max="16" width="16.28515625" customWidth="1"/>
    <col min="17" max="17" width="14" bestFit="1" customWidth="1"/>
    <col min="20" max="20" width="12.5703125" customWidth="1"/>
    <col min="23" max="23" width="15.7109375" customWidth="1"/>
  </cols>
  <sheetData>
    <row r="1" spans="1:23" ht="21" x14ac:dyDescent="0.35">
      <c r="A1" s="4" t="s">
        <v>25</v>
      </c>
      <c r="B1" s="4" t="s">
        <v>26</v>
      </c>
      <c r="C1" s="4" t="s">
        <v>27</v>
      </c>
      <c r="D1" s="4" t="s">
        <v>28</v>
      </c>
      <c r="G1" s="6" t="s">
        <v>36</v>
      </c>
      <c r="H1" s="6" t="s">
        <v>37</v>
      </c>
      <c r="I1" s="6" t="s">
        <v>38</v>
      </c>
      <c r="J1" s="6" t="s">
        <v>39</v>
      </c>
      <c r="K1" s="6" t="s">
        <v>40</v>
      </c>
      <c r="L1" s="6" t="s">
        <v>41</v>
      </c>
      <c r="M1" s="6" t="s">
        <v>26</v>
      </c>
      <c r="N1" s="6" t="s">
        <v>26</v>
      </c>
      <c r="P1" s="6" t="s">
        <v>51</v>
      </c>
      <c r="Q1" s="6" t="s">
        <v>52</v>
      </c>
      <c r="R1" s="6" t="s">
        <v>53</v>
      </c>
      <c r="S1" s="6" t="s">
        <v>54</v>
      </c>
      <c r="T1" s="6" t="s">
        <v>55</v>
      </c>
      <c r="W1" s="6" t="s">
        <v>56</v>
      </c>
    </row>
    <row r="2" spans="1:23" x14ac:dyDescent="0.25">
      <c r="A2" s="5">
        <v>1</v>
      </c>
      <c r="B2" s="5" t="s">
        <v>50</v>
      </c>
      <c r="C2" s="5" t="s">
        <v>33</v>
      </c>
      <c r="D2" s="3">
        <v>50000</v>
      </c>
      <c r="G2" t="s">
        <v>25</v>
      </c>
      <c r="H2">
        <f>COUNT(A2:A11)</f>
        <v>10</v>
      </c>
      <c r="I2">
        <f>SUM(A2:A11)</f>
        <v>55</v>
      </c>
      <c r="J2">
        <f>AVERAGE(A2:A11)</f>
        <v>5.5</v>
      </c>
      <c r="K2">
        <f>MIN(A2:A11)</f>
        <v>1</v>
      </c>
      <c r="L2">
        <f>MAX(A2:A11)</f>
        <v>10</v>
      </c>
      <c r="M2" t="str">
        <f>UPPER(B2:B11)</f>
        <v>ABC</v>
      </c>
      <c r="N2" t="str">
        <f>PROPER(B2:B11)</f>
        <v>Abc</v>
      </c>
      <c r="P2">
        <v>25000</v>
      </c>
      <c r="Q2">
        <v>10000</v>
      </c>
      <c r="R2">
        <v>2000</v>
      </c>
      <c r="S2">
        <v>1800</v>
      </c>
      <c r="T2">
        <f>SUM(P2:Q2)-SUM(R2:S2)</f>
        <v>31200</v>
      </c>
      <c r="W2" s="8" t="s">
        <v>57</v>
      </c>
    </row>
    <row r="3" spans="1:23" x14ac:dyDescent="0.25">
      <c r="A3" s="5">
        <v>2</v>
      </c>
      <c r="B3" s="5" t="s">
        <v>22</v>
      </c>
      <c r="C3" s="5" t="s">
        <v>34</v>
      </c>
      <c r="D3" s="3">
        <v>30000</v>
      </c>
      <c r="G3" t="s">
        <v>26</v>
      </c>
      <c r="H3">
        <f>COUNT(B2:B11)</f>
        <v>1</v>
      </c>
      <c r="I3">
        <f>SUM(B2:B11)</f>
        <v>4</v>
      </c>
      <c r="J3" t="e">
        <f>AVERAGE(C2:C11)</f>
        <v>#DIV/0!</v>
      </c>
      <c r="K3">
        <f>MIN(B2:B11)</f>
        <v>4</v>
      </c>
      <c r="M3" t="str">
        <f>UPPER(B2:B11)</f>
        <v>B</v>
      </c>
      <c r="P3">
        <v>30000</v>
      </c>
      <c r="Q3">
        <v>5000</v>
      </c>
      <c r="R3">
        <v>2000</v>
      </c>
      <c r="S3">
        <v>1800</v>
      </c>
      <c r="T3">
        <f>SUM(P3:Q3)-SUM(R3:S3)</f>
        <v>31200</v>
      </c>
      <c r="W3" s="8" t="s">
        <v>58</v>
      </c>
    </row>
    <row r="4" spans="1:23" x14ac:dyDescent="0.25">
      <c r="A4" s="5">
        <v>3</v>
      </c>
      <c r="B4" s="5" t="s">
        <v>23</v>
      </c>
      <c r="C4" s="5" t="s">
        <v>35</v>
      </c>
      <c r="D4" s="3">
        <v>40000</v>
      </c>
      <c r="G4" t="s">
        <v>27</v>
      </c>
      <c r="H4">
        <f>COUNT(C2:C11)</f>
        <v>0</v>
      </c>
      <c r="I4">
        <f>SUM(B2:C4)</f>
        <v>0</v>
      </c>
      <c r="J4" t="e">
        <f>AVERAGE(C2:C11)</f>
        <v>#DIV/0!</v>
      </c>
      <c r="K4">
        <f>MIN(C1:C11)</f>
        <v>0</v>
      </c>
      <c r="M4" t="s">
        <v>42</v>
      </c>
      <c r="P4">
        <v>45000</v>
      </c>
      <c r="Q4">
        <v>15000</v>
      </c>
      <c r="R4">
        <v>2000</v>
      </c>
      <c r="S4">
        <v>1800</v>
      </c>
      <c r="T4">
        <f>SUM(P4:Q4)-SUM(R4:S4)</f>
        <v>56200</v>
      </c>
      <c r="W4" s="8" t="s">
        <v>57</v>
      </c>
    </row>
    <row r="5" spans="1:23" x14ac:dyDescent="0.25">
      <c r="A5" s="5">
        <v>4</v>
      </c>
      <c r="B5" s="5" t="s">
        <v>20</v>
      </c>
      <c r="C5" s="5" t="s">
        <v>35</v>
      </c>
      <c r="D5" s="3">
        <v>40000</v>
      </c>
      <c r="G5" t="s">
        <v>28</v>
      </c>
      <c r="H5">
        <f>COUNT(D2:D11)</f>
        <v>10</v>
      </c>
      <c r="I5">
        <f>SUM(D2:D11)</f>
        <v>390000</v>
      </c>
      <c r="J5">
        <f>AVERAGE(D2:D11)</f>
        <v>39000</v>
      </c>
      <c r="K5">
        <f>MIN(D2:D11)</f>
        <v>30000</v>
      </c>
      <c r="L5">
        <f>MAX(D2:D11)</f>
        <v>50000</v>
      </c>
      <c r="M5" t="s">
        <v>43</v>
      </c>
      <c r="W5" s="8" t="s">
        <v>58</v>
      </c>
    </row>
    <row r="6" spans="1:23" x14ac:dyDescent="0.25">
      <c r="A6" s="5">
        <v>5</v>
      </c>
      <c r="B6" s="5" t="s">
        <v>21</v>
      </c>
      <c r="C6" s="5" t="s">
        <v>34</v>
      </c>
      <c r="D6" s="3">
        <v>30000</v>
      </c>
      <c r="M6" t="s">
        <v>44</v>
      </c>
      <c r="W6" s="8" t="s">
        <v>57</v>
      </c>
    </row>
    <row r="7" spans="1:23" x14ac:dyDescent="0.25">
      <c r="A7" s="5">
        <v>6</v>
      </c>
      <c r="B7" s="5">
        <v>4</v>
      </c>
      <c r="C7" s="5" t="s">
        <v>33</v>
      </c>
      <c r="D7" s="3">
        <v>50000</v>
      </c>
      <c r="M7" t="s">
        <v>45</v>
      </c>
      <c r="W7" s="8" t="s">
        <v>58</v>
      </c>
    </row>
    <row r="8" spans="1:23" x14ac:dyDescent="0.25">
      <c r="A8" s="5">
        <v>7</v>
      </c>
      <c r="B8" s="5" t="s">
        <v>29</v>
      </c>
      <c r="C8" s="5" t="s">
        <v>34</v>
      </c>
      <c r="D8" s="3">
        <v>30000</v>
      </c>
      <c r="M8" t="s">
        <v>46</v>
      </c>
      <c r="W8" s="8" t="s">
        <v>57</v>
      </c>
    </row>
    <row r="9" spans="1:23" x14ac:dyDescent="0.25">
      <c r="A9" s="5">
        <v>8</v>
      </c>
      <c r="B9" s="5" t="s">
        <v>30</v>
      </c>
      <c r="C9" s="5" t="s">
        <v>35</v>
      </c>
      <c r="D9" s="3">
        <v>40000</v>
      </c>
      <c r="M9" t="s">
        <v>47</v>
      </c>
      <c r="W9" s="8" t="s">
        <v>58</v>
      </c>
    </row>
    <row r="10" spans="1:23" x14ac:dyDescent="0.25">
      <c r="A10" s="5">
        <v>9</v>
      </c>
      <c r="B10" s="5" t="s">
        <v>31</v>
      </c>
      <c r="C10" s="5" t="s">
        <v>35</v>
      </c>
      <c r="D10" s="3">
        <v>40000</v>
      </c>
      <c r="M10" t="s">
        <v>48</v>
      </c>
      <c r="W10" s="8" t="s">
        <v>57</v>
      </c>
    </row>
    <row r="11" spans="1:23" x14ac:dyDescent="0.25">
      <c r="A11" s="5">
        <v>10</v>
      </c>
      <c r="B11" s="5" t="s">
        <v>32</v>
      </c>
      <c r="C11" s="5" t="s">
        <v>35</v>
      </c>
      <c r="D11" s="3">
        <v>40000</v>
      </c>
      <c r="M11" t="s">
        <v>49</v>
      </c>
      <c r="W11" s="8" t="s">
        <v>58</v>
      </c>
    </row>
    <row r="12" spans="1:23" x14ac:dyDescent="0.25">
      <c r="W12" s="8" t="s">
        <v>57</v>
      </c>
    </row>
    <row r="13" spans="1:23" x14ac:dyDescent="0.25">
      <c r="W13" s="8" t="s">
        <v>58</v>
      </c>
    </row>
    <row r="14" spans="1:23" x14ac:dyDescent="0.25">
      <c r="W14" s="8" t="s">
        <v>57</v>
      </c>
    </row>
    <row r="15" spans="1:23" x14ac:dyDescent="0.25">
      <c r="W15" s="8" t="s">
        <v>58</v>
      </c>
    </row>
    <row r="16" spans="1:23" x14ac:dyDescent="0.25">
      <c r="W16" s="8" t="s">
        <v>57</v>
      </c>
    </row>
  </sheetData>
  <conditionalFormatting sqref="T4">
    <cfRule type="cellIs" dxfId="8" priority="5" operator="greaterThan">
      <formula>50000</formula>
    </cfRule>
  </conditionalFormatting>
  <conditionalFormatting sqref="T2">
    <cfRule type="cellIs" dxfId="7" priority="4" operator="lessThan">
      <formula>35000</formula>
    </cfRule>
  </conditionalFormatting>
  <conditionalFormatting sqref="T3">
    <cfRule type="cellIs" dxfId="6" priority="3" operator="lessThan">
      <formula>35000</formula>
    </cfRule>
  </conditionalFormatting>
  <conditionalFormatting sqref="W2:W16">
    <cfRule type="cellIs" dxfId="0" priority="2" operator="equal">
      <formula>"present"</formula>
    </cfRule>
    <cfRule type="cellIs" dxfId="1" priority="1" operator="equal">
      <formula>"absent"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patti rao</dc:creator>
  <cp:lastModifiedBy>patti rao</cp:lastModifiedBy>
  <dcterms:created xsi:type="dcterms:W3CDTF">2026-06-16T10:07:53Z</dcterms:created>
  <dcterms:modified xsi:type="dcterms:W3CDTF">2026-06-16T23:08:47Z</dcterms:modified>
</cp:coreProperties>
</file>